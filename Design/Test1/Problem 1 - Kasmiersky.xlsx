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ylek\Documents\Spring2026\Design\Test1\"/>
    </mc:Choice>
  </mc:AlternateContent>
  <xr:revisionPtr revIDLastSave="0" documentId="13_ncr:1_{4041B619-9E13-4E92-8DD3-B416132900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1" l="1"/>
  <c r="AB10" i="1" s="1"/>
  <c r="AB6" i="1"/>
  <c r="AB7" i="1"/>
  <c r="AB8" i="1"/>
  <c r="AB9" i="1"/>
  <c r="AB4" i="1"/>
  <c r="AA5" i="1"/>
  <c r="AA6" i="1"/>
  <c r="AA7" i="1"/>
  <c r="AA8" i="1"/>
  <c r="AA9" i="1"/>
  <c r="AA4" i="1"/>
</calcChain>
</file>

<file path=xl/sharedStrings.xml><?xml version="1.0" encoding="utf-8"?>
<sst xmlns="http://schemas.openxmlformats.org/spreadsheetml/2006/main" count="52" uniqueCount="51">
  <si>
    <t>P_lm1</t>
  </si>
  <si>
    <t>P_lm2</t>
  </si>
  <si>
    <t>P_lm3</t>
  </si>
  <si>
    <t>P_lm4</t>
  </si>
  <si>
    <t>P_lm5</t>
  </si>
  <si>
    <t>P_lm6</t>
  </si>
  <si>
    <t>P_lm7</t>
  </si>
  <si>
    <t>P_lm8</t>
  </si>
  <si>
    <t>P_cm</t>
  </si>
  <si>
    <t>P_batt</t>
  </si>
  <si>
    <t>Edot_batt</t>
  </si>
  <si>
    <t>P1</t>
  </si>
  <si>
    <t>P2</t>
  </si>
  <si>
    <t>P_ts</t>
  </si>
  <si>
    <t>P_gb</t>
  </si>
  <si>
    <t>P_gen</t>
  </si>
  <si>
    <t>P_rc</t>
  </si>
  <si>
    <t>Constraint 1</t>
  </si>
  <si>
    <t>Constraint 2</t>
  </si>
  <si>
    <t>Constraint 3</t>
  </si>
  <si>
    <t>Constraint 4</t>
  </si>
  <si>
    <t>Constraint 5</t>
  </si>
  <si>
    <t>Constraint 6</t>
  </si>
  <si>
    <t>Constraint 7</t>
  </si>
  <si>
    <t>Nominal cruise, no recharge</t>
  </si>
  <si>
    <t>Nominal cruise with recharge</t>
  </si>
  <si>
    <t>Degraded cruise</t>
  </si>
  <si>
    <t>Nominal hover</t>
  </si>
  <si>
    <t>Degraded hover, 1 turbo-shaft failed</t>
  </si>
  <si>
    <t>Degraded hover, 1 battery pack failed</t>
  </si>
  <si>
    <t>Degraded hover, two lift props inoperative</t>
  </si>
  <si>
    <t>Power (kW)</t>
  </si>
  <si>
    <t>Constraint</t>
  </si>
  <si>
    <t>Description</t>
  </si>
  <si>
    <t>(kW)</t>
  </si>
  <si>
    <t>Qty</t>
  </si>
  <si>
    <t>Component</t>
  </si>
  <si>
    <t>Rated Pwr</t>
  </si>
  <si>
    <t>Spec Pwr</t>
  </si>
  <si>
    <t>(kW/kg)</t>
  </si>
  <si>
    <t>Mass, each</t>
  </si>
  <si>
    <t>Mass, total</t>
  </si>
  <si>
    <t>(kg)</t>
  </si>
  <si>
    <t>Turboshaft</t>
  </si>
  <si>
    <t>Gearbox</t>
  </si>
  <si>
    <t>Generator</t>
  </si>
  <si>
    <t>Cruise motor</t>
  </si>
  <si>
    <t>Lift motor</t>
  </si>
  <si>
    <t>Battery pack</t>
  </si>
  <si>
    <t>TOTAL</t>
  </si>
  <si>
    <t>Sized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</si>
</sst>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164" fontId="1" fillId="4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12</xdr:row>
      <xdr:rowOff>9525</xdr:rowOff>
    </xdr:from>
    <xdr:to>
      <xdr:col>17</xdr:col>
      <xdr:colOff>170775</xdr:colOff>
      <xdr:row>40</xdr:row>
      <xdr:rowOff>162872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0957E-4571-8FBE-65C5-411747FAA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248025"/>
          <a:ext cx="9733875" cy="5487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0"/>
  <sheetViews>
    <sheetView showGridLines="0" tabSelected="1" topLeftCell="C17" zoomScale="101" zoomScaleNormal="101" workbookViewId="0">
      <selection activeCell="AC8" sqref="AC8"/>
    </sheetView>
  </sheetViews>
  <sheetFormatPr defaultRowHeight="14.4" x14ac:dyDescent="0.3"/>
  <cols>
    <col min="2" max="2" width="13.33203125" customWidth="1"/>
    <col min="3" max="3" width="39.5546875" customWidth="1"/>
    <col min="4" max="13" width="7.6640625" customWidth="1"/>
    <col min="14" max="14" width="9.5546875" bestFit="1" customWidth="1"/>
    <col min="15" max="20" width="7.6640625" customWidth="1"/>
    <col min="22" max="22" width="12.44140625" bestFit="1" customWidth="1"/>
    <col min="23" max="23" width="10" bestFit="1" customWidth="1"/>
    <col min="24" max="24" width="11.5546875" bestFit="1" customWidth="1"/>
    <col min="27" max="27" width="10.5546875" bestFit="1" customWidth="1"/>
    <col min="28" max="28" width="10.88671875" customWidth="1"/>
  </cols>
  <sheetData>
    <row r="2" spans="2:28" x14ac:dyDescent="0.3">
      <c r="B2" s="2" t="s">
        <v>32</v>
      </c>
      <c r="C2" s="2" t="s">
        <v>33</v>
      </c>
      <c r="D2" s="7" t="s">
        <v>31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V2" s="2" t="s">
        <v>36</v>
      </c>
      <c r="W2" s="2" t="s">
        <v>37</v>
      </c>
      <c r="X2" s="2" t="s">
        <v>50</v>
      </c>
      <c r="Y2" s="2" t="s">
        <v>35</v>
      </c>
      <c r="Z2" s="2" t="s">
        <v>38</v>
      </c>
      <c r="AA2" s="2" t="s">
        <v>40</v>
      </c>
      <c r="AB2" s="2" t="s">
        <v>41</v>
      </c>
    </row>
    <row r="3" spans="2:28" x14ac:dyDescent="0.3">
      <c r="B3" s="2"/>
      <c r="C3" s="2"/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V3" s="2"/>
      <c r="W3" s="2" t="s">
        <v>34</v>
      </c>
      <c r="X3" s="2"/>
      <c r="Y3" s="2"/>
      <c r="Z3" s="2" t="s">
        <v>39</v>
      </c>
      <c r="AA3" s="2" t="s">
        <v>42</v>
      </c>
      <c r="AB3" s="2" t="s">
        <v>42</v>
      </c>
    </row>
    <row r="4" spans="2:28" x14ac:dyDescent="0.3">
      <c r="B4" s="2" t="s">
        <v>17</v>
      </c>
      <c r="C4" s="2" t="s">
        <v>24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v>250</v>
      </c>
      <c r="M4" s="3">
        <v>0</v>
      </c>
      <c r="N4" s="5">
        <v>0</v>
      </c>
      <c r="O4" s="5">
        <v>0</v>
      </c>
      <c r="P4" s="5">
        <v>277.77777777777698</v>
      </c>
      <c r="Q4" s="4">
        <v>157.470395565633</v>
      </c>
      <c r="R4" s="3">
        <v>154.32098765432099</v>
      </c>
      <c r="S4" s="4">
        <v>138.888888888888</v>
      </c>
      <c r="T4" s="5">
        <v>0</v>
      </c>
      <c r="V4" s="2" t="s">
        <v>43</v>
      </c>
      <c r="W4" s="5">
        <v>226.8</v>
      </c>
      <c r="X4" s="5">
        <v>3</v>
      </c>
      <c r="Y4" s="1">
        <v>2</v>
      </c>
      <c r="Z4" s="1">
        <v>5</v>
      </c>
      <c r="AA4" s="5">
        <f>W4/Z4</f>
        <v>45.36</v>
      </c>
      <c r="AB4" s="5">
        <f>AA4*Y4</f>
        <v>90.72</v>
      </c>
    </row>
    <row r="5" spans="2:28" x14ac:dyDescent="0.3">
      <c r="B5" s="2" t="s">
        <v>18</v>
      </c>
      <c r="C5" s="2" t="s">
        <v>25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v>240</v>
      </c>
      <c r="M5" s="3">
        <v>0</v>
      </c>
      <c r="N5" s="5">
        <v>19.399999999999899</v>
      </c>
      <c r="O5" s="5">
        <v>0</v>
      </c>
      <c r="P5" s="5">
        <v>266.666666666666</v>
      </c>
      <c r="Q5" s="4">
        <v>162.50944822373401</v>
      </c>
      <c r="R5" s="3">
        <v>159.25925925925901</v>
      </c>
      <c r="S5" s="4">
        <v>143.333333333333</v>
      </c>
      <c r="T5" s="5">
        <v>20</v>
      </c>
      <c r="V5" s="2" t="s">
        <v>44</v>
      </c>
      <c r="W5" s="5">
        <v>222.2</v>
      </c>
      <c r="X5" s="5">
        <v>3</v>
      </c>
      <c r="Y5" s="1">
        <v>2</v>
      </c>
      <c r="Z5" s="1">
        <v>10</v>
      </c>
      <c r="AA5" s="5">
        <f t="shared" ref="AA5:AA9" si="0">W5/Z5</f>
        <v>22.22</v>
      </c>
      <c r="AB5" s="5">
        <f t="shared" ref="AB5:AB9" si="1">AA5*Y5</f>
        <v>44.44</v>
      </c>
    </row>
    <row r="6" spans="2:28" x14ac:dyDescent="0.3">
      <c r="B6" s="2" t="s">
        <v>19</v>
      </c>
      <c r="C6" s="2" t="s">
        <v>26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4">
        <v>180</v>
      </c>
      <c r="M6" s="3">
        <v>0</v>
      </c>
      <c r="N6" s="5">
        <v>0</v>
      </c>
      <c r="O6" s="5">
        <v>0</v>
      </c>
      <c r="P6" s="5">
        <v>200</v>
      </c>
      <c r="Q6" s="4">
        <v>226.75736961451199</v>
      </c>
      <c r="R6" s="3">
        <v>222.222222222222</v>
      </c>
      <c r="S6" s="4">
        <v>200</v>
      </c>
      <c r="T6" s="5">
        <v>0</v>
      </c>
      <c r="V6" s="2" t="s">
        <v>45</v>
      </c>
      <c r="W6" s="5">
        <v>200</v>
      </c>
      <c r="X6" s="5">
        <v>3</v>
      </c>
      <c r="Y6" s="1">
        <v>2</v>
      </c>
      <c r="Z6" s="1">
        <v>7</v>
      </c>
      <c r="AA6" s="5">
        <f t="shared" si="0"/>
        <v>28.571428571428573</v>
      </c>
      <c r="AB6" s="5">
        <f t="shared" si="1"/>
        <v>57.142857142857146</v>
      </c>
    </row>
    <row r="7" spans="2:28" x14ac:dyDescent="0.3">
      <c r="B7" s="2" t="s">
        <v>20</v>
      </c>
      <c r="C7" s="2" t="s">
        <v>27</v>
      </c>
      <c r="D7" s="3">
        <v>75</v>
      </c>
      <c r="E7" s="3">
        <v>75</v>
      </c>
      <c r="F7" s="3">
        <v>75</v>
      </c>
      <c r="G7" s="3">
        <v>75</v>
      </c>
      <c r="H7" s="3">
        <v>75</v>
      </c>
      <c r="I7" s="3">
        <v>75</v>
      </c>
      <c r="J7" s="3">
        <v>75</v>
      </c>
      <c r="K7" s="3">
        <v>75</v>
      </c>
      <c r="L7" s="4">
        <v>0</v>
      </c>
      <c r="M7" s="3">
        <v>66.6666532666666</v>
      </c>
      <c r="N7" s="5">
        <v>-274.91403408934701</v>
      </c>
      <c r="O7" s="5">
        <v>266.666613066666</v>
      </c>
      <c r="P7" s="5">
        <v>400.0000536</v>
      </c>
      <c r="Q7" s="4">
        <v>226.75739999999999</v>
      </c>
      <c r="R7" s="3">
        <v>222.222252</v>
      </c>
      <c r="S7" s="4">
        <v>200.0000268</v>
      </c>
      <c r="T7" s="5">
        <v>0</v>
      </c>
      <c r="V7" s="2" t="s">
        <v>46</v>
      </c>
      <c r="W7" s="5">
        <v>250</v>
      </c>
      <c r="X7" s="5">
        <v>1</v>
      </c>
      <c r="Y7" s="1">
        <v>1</v>
      </c>
      <c r="Z7" s="1">
        <v>5</v>
      </c>
      <c r="AA7" s="5">
        <f t="shared" si="0"/>
        <v>50</v>
      </c>
      <c r="AB7" s="5">
        <f t="shared" si="1"/>
        <v>50</v>
      </c>
    </row>
    <row r="8" spans="2:28" x14ac:dyDescent="0.3">
      <c r="B8" s="2" t="s">
        <v>21</v>
      </c>
      <c r="C8" s="2" t="s">
        <v>28</v>
      </c>
      <c r="D8" s="3">
        <v>75</v>
      </c>
      <c r="E8" s="3">
        <v>75</v>
      </c>
      <c r="F8" s="3">
        <v>75</v>
      </c>
      <c r="G8" s="3">
        <v>75</v>
      </c>
      <c r="H8" s="3">
        <v>75</v>
      </c>
      <c r="I8" s="3">
        <v>75</v>
      </c>
      <c r="J8" s="3">
        <v>75</v>
      </c>
      <c r="K8" s="3">
        <v>75</v>
      </c>
      <c r="L8" s="4">
        <v>0</v>
      </c>
      <c r="M8" s="3">
        <v>116.666659966666</v>
      </c>
      <c r="N8" s="5">
        <v>-481.09962872852202</v>
      </c>
      <c r="O8" s="5">
        <v>466.666639866666</v>
      </c>
      <c r="P8" s="5">
        <v>200.0000268</v>
      </c>
      <c r="Q8" s="4">
        <v>226.75739999999999</v>
      </c>
      <c r="R8" s="3">
        <v>222.222252</v>
      </c>
      <c r="S8" s="4">
        <v>200.0000268</v>
      </c>
      <c r="T8" s="5">
        <v>0</v>
      </c>
      <c r="V8" s="2" t="s">
        <v>47</v>
      </c>
      <c r="W8" s="5">
        <v>133</v>
      </c>
      <c r="X8" s="5">
        <v>7</v>
      </c>
      <c r="Y8" s="1">
        <v>8</v>
      </c>
      <c r="Z8" s="1">
        <v>5</v>
      </c>
      <c r="AA8" s="5">
        <f t="shared" si="0"/>
        <v>26.6</v>
      </c>
      <c r="AB8" s="5">
        <f t="shared" si="1"/>
        <v>212.8</v>
      </c>
    </row>
    <row r="9" spans="2:28" x14ac:dyDescent="0.3">
      <c r="B9" s="2" t="s">
        <v>22</v>
      </c>
      <c r="C9" s="2" t="s">
        <v>29</v>
      </c>
      <c r="D9" s="3">
        <v>75</v>
      </c>
      <c r="E9" s="3">
        <v>75</v>
      </c>
      <c r="F9" s="3">
        <v>75</v>
      </c>
      <c r="G9" s="3">
        <v>75</v>
      </c>
      <c r="H9" s="3">
        <v>75</v>
      </c>
      <c r="I9" s="3">
        <v>75</v>
      </c>
      <c r="J9" s="3">
        <v>75</v>
      </c>
      <c r="K9" s="3">
        <v>75</v>
      </c>
      <c r="L9" s="4">
        <v>0</v>
      </c>
      <c r="M9" s="3">
        <v>88.888871022222204</v>
      </c>
      <c r="N9" s="5">
        <v>-274.91403408934701</v>
      </c>
      <c r="O9" s="5">
        <v>266.666613066666</v>
      </c>
      <c r="P9" s="5">
        <v>400.0000536</v>
      </c>
      <c r="Q9" s="4">
        <v>226.75739999999999</v>
      </c>
      <c r="R9" s="3">
        <v>222.222252</v>
      </c>
      <c r="S9" s="4">
        <v>200.0000268</v>
      </c>
      <c r="T9" s="5">
        <v>0</v>
      </c>
      <c r="V9" s="2" t="s">
        <v>48</v>
      </c>
      <c r="W9" s="5">
        <v>121.7</v>
      </c>
      <c r="X9" s="5">
        <v>7</v>
      </c>
      <c r="Y9" s="1">
        <v>4</v>
      </c>
      <c r="Z9" s="1">
        <v>2</v>
      </c>
      <c r="AA9" s="5">
        <f t="shared" si="0"/>
        <v>60.85</v>
      </c>
      <c r="AB9" s="5">
        <f t="shared" si="1"/>
        <v>243.4</v>
      </c>
    </row>
    <row r="10" spans="2:28" x14ac:dyDescent="0.3">
      <c r="B10" s="2" t="s">
        <v>23</v>
      </c>
      <c r="C10" s="2" t="s">
        <v>30</v>
      </c>
      <c r="D10" s="3">
        <v>0</v>
      </c>
      <c r="E10" s="3">
        <v>133</v>
      </c>
      <c r="F10" s="3">
        <v>133</v>
      </c>
      <c r="G10" s="3">
        <v>133</v>
      </c>
      <c r="H10" s="3">
        <v>133</v>
      </c>
      <c r="I10" s="3">
        <v>133</v>
      </c>
      <c r="J10" s="3">
        <v>133</v>
      </c>
      <c r="K10" s="3">
        <v>0</v>
      </c>
      <c r="L10" s="4">
        <v>0</v>
      </c>
      <c r="M10" s="3">
        <v>121.666653266666</v>
      </c>
      <c r="N10" s="5">
        <v>-501.71815780068698</v>
      </c>
      <c r="O10" s="5">
        <v>486.666613066666</v>
      </c>
      <c r="P10" s="5">
        <v>400.0000536</v>
      </c>
      <c r="Q10" s="4">
        <v>226.75739999999999</v>
      </c>
      <c r="R10" s="3">
        <v>222.222252</v>
      </c>
      <c r="S10" s="4">
        <v>200.0000268</v>
      </c>
      <c r="T10" s="5">
        <v>0</v>
      </c>
      <c r="V10" s="8" t="s">
        <v>49</v>
      </c>
      <c r="W10" s="8"/>
      <c r="X10" s="8"/>
      <c r="Y10" s="8"/>
      <c r="Z10" s="8"/>
      <c r="AA10" s="8"/>
      <c r="AB10" s="6">
        <f>SUM(AB4:AB9)</f>
        <v>698.50285714285712</v>
      </c>
    </row>
  </sheetData>
  <mergeCells count="2">
    <mergeCell ref="D2:T2"/>
    <mergeCell ref="V10:AA10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Kyle Kasmiersky</cp:lastModifiedBy>
  <dcterms:created xsi:type="dcterms:W3CDTF">2015-06-05T18:17:20Z</dcterms:created>
  <dcterms:modified xsi:type="dcterms:W3CDTF">2026-01-27T21:42:56Z</dcterms:modified>
</cp:coreProperties>
</file>